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apítulos" sheetId="2" state="visible" r:id="rId4"/>
    <sheet name="Novidades no produto" sheetId="3" state="visible" r:id="rId5"/>
    <sheet name="Achados no produto" sheetId="4" state="visible" r:id="rId6"/>
    <sheet name="Por fazer" sheetId="5" state="visible" r:id="rId7"/>
    <sheet name="Valores dos exemplos" sheetId="6" state="visible" r:id="rId8"/>
  </sheets>
  <definedNames>
    <definedName function="false" hidden="true" localSheetId="3" name="_xlnm._FilterDatabase" vbProcedure="false">'Achados no produto'!$A$3:$D$7</definedName>
    <definedName function="false" hidden="true" localSheetId="1" name="_xlnm._FilterDatabase" vbProcedure="false">Capítulos!$A$3:$F$16</definedName>
    <definedName function="false" hidden="true" localSheetId="2" name="_xlnm._FilterDatabase" vbProcedure="false">'Novidades no produto'!$A$3:$D$17</definedName>
    <definedName function="false" hidden="true" localSheetId="4" name="_xlnm._FilterDatabase" vbProcedure="false">'Por fazer'!$A$3:$C$6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<sst xmlns="http://schemas.openxmlformats.org/spreadsheetml/2006/main" count="202" uniqueCount="179">
  <si>
    <t xml:space="preserve">Revisão do manual de utilizador GestPro — resumo</t>
  </si>
  <si>
    <t xml:space="preserve">Gerado a partir da resposta de 7 de Outubro de 2026.</t>
  </si>
  <si>
    <t xml:space="preserve">Capítulos no manual</t>
  </si>
  <si>
    <t xml:space="preserve">Funcionalidades novas documentadas</t>
  </si>
  <si>
    <t xml:space="preserve">Achados no produto</t>
  </si>
  <si>
    <t xml:space="preserve">Itens por fazer</t>
  </si>
  <si>
    <t xml:space="preserve">Páginas do PDF</t>
  </si>
  <si>
    <t xml:space="preserve">Tamanho do PDF (MB)</t>
  </si>
  <si>
    <t xml:space="preserve">Ligações internas verificadas no PDF</t>
  </si>
  <si>
    <t xml:space="preserve">Ligações partidas</t>
  </si>
  <si>
    <t xml:space="preserve">Os valores a azul vêm da verificação do PDF gerado (pypdf / contagem de ligações no HTML intermédio).</t>
  </si>
  <si>
    <t xml:space="preserve">Manual GestPro — capítulos, objectivo e exemplo prático</t>
  </si>
  <si>
    <t xml:space="preserve">Empresa dos exemplos: Ferragens Boa Obra, Lda (fictícia). Edição de 7 de Outubro de 2026.</t>
  </si>
  <si>
    <t xml:space="preserve">#</t>
  </si>
  <si>
    <t xml:space="preserve">Capítulo</t>
  </si>
  <si>
    <t xml:space="preserve">Ficheiro (docs/manual/)</t>
  </si>
  <si>
    <t xml:space="preserve">Objectivo do módulo, numa frase</t>
  </si>
  <si>
    <t xml:space="preserve">Exemplo prático</t>
  </si>
  <si>
    <t xml:space="preserve">Quem o usa mais</t>
  </si>
  <si>
    <t xml:space="preserve">Primeiros passos</t>
  </si>
  <si>
    <t xml:space="preserve">00-primeiros-passos.md</t>
  </si>
  <si>
    <t xml:space="preserve">Pôr a empresa e as pessoas no sistema, com o acesso certo</t>
  </si>
  <si>
    <t xml:space="preserve">O primeiro dia do Sérgio</t>
  </si>
  <si>
    <t xml:space="preserve">Todos</t>
  </si>
  <si>
    <t xml:space="preserve">Compras</t>
  </si>
  <si>
    <t xml:space="preserve">01-compras.md</t>
  </si>
  <si>
    <t xml:space="preserve">Nenhuma compra sem justificação, aprovação e rasto</t>
  </si>
  <si>
    <t xml:space="preserve">Reabastecer cimento e varão</t>
  </si>
  <si>
    <t xml:space="preserve">Compras, gestores, operadores</t>
  </si>
  <si>
    <t xml:space="preserve">Fornecedores e serviços</t>
  </si>
  <si>
    <t xml:space="preserve">02-fornecedores-e-servicos.md</t>
  </si>
  <si>
    <t xml:space="preserve">Saber a quem se deve e pagar com rasto; vender serviços</t>
  </si>
  <si>
    <t xml:space="preserve">Pagar uma conta vencida; vender entregas em obra</t>
  </si>
  <si>
    <t xml:space="preserve">Compras, financeiro</t>
  </si>
  <si>
    <t xml:space="preserve">Inventário e activos</t>
  </si>
  <si>
    <t xml:space="preserve">03-inventario.md</t>
  </si>
  <si>
    <t xml:space="preserve">O número no ecrã é o número na prateleira</t>
  </si>
  <si>
    <t xml:space="preserve">Entradas, quebras, contagem, reposição</t>
  </si>
  <si>
    <t xml:space="preserve">Armazém, operadores</t>
  </si>
  <si>
    <t xml:space="preserve">Vendas e POS</t>
  </si>
  <si>
    <t xml:space="preserve">04-vendas-e-pos.md</t>
  </si>
  <si>
    <t xml:space="preserve">Vender depressa sem perder controlo fiscal</t>
  </si>
  <si>
    <t xml:space="preserve">Três vendas ao balcão, nota de débito de acerto de preço, nota de crédito</t>
  </si>
  <si>
    <t xml:space="preserve">Balcão, vendas, financeiro</t>
  </si>
  <si>
    <t xml:space="preserve">Contabilidade</t>
  </si>
  <si>
    <t xml:space="preserve">05-contabilidade.md</t>
  </si>
  <si>
    <t xml:space="preserve">Contabilidade sempre em dia e verificável</t>
  </si>
  <si>
    <t xml:space="preserve">O fecho do mês; o fecho do ano</t>
  </si>
  <si>
    <t xml:space="preserve">Contabilistas, financeiro</t>
  </si>
  <si>
    <t xml:space="preserve">Faturação, caixa e tesouraria</t>
  </si>
  <si>
    <t xml:space="preserve">06-faturacao-caixa-tesouraria.md</t>
  </si>
  <si>
    <t xml:space="preserve">Facturar, cobrar, acertar a caixa e prever o dinheiro</t>
  </si>
  <si>
    <t xml:space="preserve">Da cotação à factura paga; fecho de caixa da Ana</t>
  </si>
  <si>
    <t xml:space="preserve">Financeiro, operadores de caixa</t>
  </si>
  <si>
    <t xml:space="preserve">Recursos humanos</t>
  </si>
  <si>
    <t xml:space="preserve">07-recursos-humanos.md</t>
  </si>
  <si>
    <t xml:space="preserve">Pagar certo, a tempo e com rasto</t>
  </si>
  <si>
    <t xml:space="preserve">O salário de Outubro da Ana (horas extra e bónus)</t>
  </si>
  <si>
    <t xml:space="preserve">RH, financeiro (payroll)</t>
  </si>
  <si>
    <t xml:space="preserve">Projectos e produção</t>
  </si>
  <si>
    <t xml:space="preserve">08-projetos-e-producao.md</t>
  </si>
  <si>
    <t xml:space="preserve">Controlar projectos e o que se fabrica</t>
  </si>
  <si>
    <t xml:space="preserve">Nova loja; fabrico de blocos de cimento</t>
  </si>
  <si>
    <t xml:space="preserve">Gestores de projecto, produção</t>
  </si>
  <si>
    <t xml:space="preserve">Transporte e logística</t>
  </si>
  <si>
    <t xml:space="preserve">09-transporte.md</t>
  </si>
  <si>
    <t xml:space="preserve">Entregar com a frota em condições e custo conhecido</t>
  </si>
  <si>
    <t xml:space="preserve">Entrega na obra da Machava</t>
  </si>
  <si>
    <t xml:space="preserve">Frota, logística</t>
  </si>
  <si>
    <t xml:space="preserve">Suporte e tickets</t>
  </si>
  <si>
    <t xml:space="preserve">10-suporte.md</t>
  </si>
  <si>
    <t xml:space="preserve">Nenhum pedido perdido, cada um com prazo</t>
  </si>
  <si>
    <t xml:space="preserve">Avaria da impressora do POS</t>
  </si>
  <si>
    <t xml:space="preserve">Equipa de suporte</t>
  </si>
  <si>
    <t xml:space="preserve">Plataforma e administração</t>
  </si>
  <si>
    <t xml:space="preserve">11-plataforma-e-administracao.md</t>
  </si>
  <si>
    <t xml:space="preserve">Governar acessos, auditoria, indicadores e subscrição</t>
  </si>
  <si>
    <t xml:space="preserve">Uma nova caixeira e a revisão do mês</t>
  </si>
  <si>
    <t xml:space="preserve">Administradores</t>
  </si>
  <si>
    <t xml:space="preserve">Casos práticos</t>
  </si>
  <si>
    <t xml:space="preserve">12-casos-praticos.md</t>
  </si>
  <si>
    <t xml:space="preserve">Ver os módulos encadeados de ponta a ponta</t>
  </si>
  <si>
    <t xml:space="preserve">O primeiro mês completo</t>
  </si>
  <si>
    <t xml:space="preserve">Todos — formação e implementação</t>
  </si>
  <si>
    <t xml:space="preserve">Funcionalidades novas desde 3 de Outubro, já descritas no manual</t>
  </si>
  <si>
    <t xml:space="preserve">Funcionalidade</t>
  </si>
  <si>
    <t xml:space="preserve">Detalhe</t>
  </si>
  <si>
    <t xml:space="preserve">Confirmado no código</t>
  </si>
  <si>
    <t xml:space="preserve">05 Contabilidade</t>
  </si>
  <si>
    <t xml:space="preserve">Encerramento do exercício</t>
  </si>
  <si>
    <t xml:space="preserve">Provisório, reabrir e definitivo; só o Administrador</t>
  </si>
  <si>
    <t xml:space="preserve">Sim</t>
  </si>
  <si>
    <t xml:space="preserve">Aplicação do resultado</t>
  </si>
  <si>
    <t xml:space="preserve">Da conta 88 para a 59, na data da deliberação</t>
  </si>
  <si>
    <t xml:space="preserve">Abertura automática do ano seguinte</t>
  </si>
  <si>
    <t xml:space="preserve">Diário AB, saldos das classes 1 a 5 e 8</t>
  </si>
  <si>
    <t xml:space="preserve">Período 13</t>
  </si>
  <si>
    <t xml:space="preserve">Sem apuramento de IVA</t>
  </si>
  <si>
    <t xml:space="preserve">Ecrã Balanço</t>
  </si>
  <si>
    <t xml:space="preserve">Por classes; Exportar PDF (também na DRE)</t>
  </si>
  <si>
    <t xml:space="preserve">Conta no lançamento</t>
  </si>
  <si>
    <t xml:space="preserve">Pesquisa no servidor; qualquer conta de movimento (fim do limite de 200)</t>
  </si>
  <si>
    <t xml:space="preserve">Abrir exercício</t>
  </si>
  <si>
    <t xml:space="preserve">Passou a ser só do Administrador</t>
  </si>
  <si>
    <t xml:space="preserve">06 Faturação</t>
  </si>
  <si>
    <t xml:space="preserve">Registar pagamento de factura</t>
  </si>
  <si>
    <t xml:space="preserve">D banco ou caixa / C 411; pagamentos parciais</t>
  </si>
  <si>
    <t xml:space="preserve">Marcar como vencida</t>
  </si>
  <si>
    <t xml:space="preserve">Botão manual, a partir do dia seguinte ao vencimento</t>
  </si>
  <si>
    <t xml:space="preserve">PDF a partir do menu da lista</t>
  </si>
  <si>
    <t xml:space="preserve">Opção Descarregar PDF no menu ⋯</t>
  </si>
  <si>
    <t xml:space="preserve">04 Vendas / 05</t>
  </si>
  <si>
    <t xml:space="preserve">Natureza da nota de débito</t>
  </si>
  <si>
    <t xml:space="preserve">Decide a conta a crédito; ecrã de configuração</t>
  </si>
  <si>
    <t xml:space="preserve">04 Vendas</t>
  </si>
  <si>
    <t xml:space="preserve">Editar encomenda em rascunho</t>
  </si>
  <si>
    <t xml:space="preserve">Ecrã Editar Encomenda</t>
  </si>
  <si>
    <t xml:space="preserve">01 Compras</t>
  </si>
  <si>
    <t xml:space="preserve">Aviso «Nova Requisição» retirado</t>
  </si>
  <si>
    <t xml:space="preserve">Erro já corrigido no produto</t>
  </si>
  <si>
    <t xml:space="preserve">03 Inventário</t>
  </si>
  <si>
    <t xml:space="preserve">IVA do produto</t>
  </si>
  <si>
    <t xml:space="preserve">Escolhe-se numa lista (16% / 0% isento)</t>
  </si>
  <si>
    <t xml:space="preserve">Coisas no produto que vale a pena ver</t>
  </si>
  <si>
    <t xml:space="preserve">Achado</t>
  </si>
  <si>
    <t xml:space="preserve">Onde</t>
  </si>
  <si>
    <t xml:space="preserve">Descrição</t>
  </si>
  <si>
    <t xml:space="preserve">Prioridade sugerida</t>
  </si>
  <si>
    <t xml:space="preserve">Menu de Compras escondido</t>
  </si>
  <si>
    <t xml:space="preserve">Barra lateral (AppSidebar.tsx)</t>
  </si>
  <si>
    <t xml:space="preserve">As entradas pedem compras:requisicao:ver, compras:cotacao:ver e compras:pedido:ver, que não existem em rbac.ts — ficam escondidas para todos, o Administrador incluído.</t>
  </si>
  <si>
    <t xml:space="preserve">Alta</t>
  </si>
  <si>
    <t xml:space="preserve">Horas extra ignoram o almoço</t>
  </si>
  <si>
    <t xml:space="preserve">Assiduidade (rh.service.ts)</t>
  </si>
  <si>
    <t xml:space="preserve">O cálculo usa só a entrada e a saída; o almoço registado não é descontado. O manual avisa.</t>
  </si>
  <si>
    <t xml:space="preserve">Média</t>
  </si>
  <si>
    <t xml:space="preserve">Faturas não vencem sozinhas</t>
  </si>
  <si>
    <t xml:space="preserve">Faturação</t>
  </si>
  <si>
    <t xml:space="preserve">Marcar como vencida é manual; o exemplo do manual sugere uma rotina semanal.</t>
  </si>
  <si>
    <t xml:space="preserve">Nome do botão de PDF inconsistente</t>
  </si>
  <si>
    <t xml:space="preserve">Vendas › Faturas vs Faturação</t>
  </si>
  <si>
    <t xml:space="preserve">«Baixar PDF» num ecrã, «Descarregar PDF» no outro.</t>
  </si>
  <si>
    <t xml:space="preserve">Baixa</t>
  </si>
  <si>
    <t xml:space="preserve">O que ficou por fazer</t>
  </si>
  <si>
    <t xml:space="preserve">Item</t>
  </si>
  <si>
    <t xml:space="preserve">Situação</t>
  </si>
  <si>
    <t xml:space="preserve">Próximo passo</t>
  </si>
  <si>
    <t xml:space="preserve">Regenerar capturas</t>
  </si>
  <si>
    <t xml:space="preserve">As capturas são de 27 de Setembro; ecrãs novos (encerramento, balanço, pagamento de factura, naturezas da nota de débito) sem imagem</t>
  </si>
  <si>
    <t xml:space="preserve">Correr apps/erp/e2e/manual/capturas.manual.ts com a aplicação local a correr</t>
  </si>
  <si>
    <t xml:space="preserve">Lista de lacunas</t>
  </si>
  <si>
    <t xml:space="preserve">docs/sistema/08-lacunas-conhecidas.md pode ainda listar funcionalidades já existentes</t>
  </si>
  <si>
    <t xml:space="preserve">Rever e actualizar</t>
  </si>
  <si>
    <t xml:space="preserve">Commit</t>
  </si>
  <si>
    <t xml:space="preserve">As alterações em docs/manual/ não foram commitadas</t>
  </si>
  <si>
    <t xml:space="preserve">Rever o diff e fazer commit</t>
  </si>
  <si>
    <t xml:space="preserve">Valores-chave dos exemplos (recalculáveis)</t>
  </si>
  <si>
    <t xml:space="preserve">Texto azul = valores de entrada dos exemplos do manual (fictícios); preto = fórmulas.</t>
  </si>
  <si>
    <t xml:space="preserve">Horas extra da Ana (cap. 7)</t>
  </si>
  <si>
    <t xml:space="preserve">Salário base (MT)</t>
  </si>
  <si>
    <t xml:space="preserve">Horas mensais de referência</t>
  </si>
  <si>
    <t xml:space="preserve">Regra do produto: valor/hora = salário base ÷ 208</t>
  </si>
  <si>
    <t xml:space="preserve">Majoração das horas extra</t>
  </si>
  <si>
    <t xml:space="preserve">Regra do produto: +50 %</t>
  </si>
  <si>
    <t xml:space="preserve">Horas extra no mês</t>
  </si>
  <si>
    <t xml:space="preserve">Valor das horas extra (MT)</t>
  </si>
  <si>
    <t xml:space="preserve">Subsídio de alimentação (MT)</t>
  </si>
  <si>
    <t xml:space="preserve">Subsídio de transporte (MT)</t>
  </si>
  <si>
    <t xml:space="preserve">Total bruto (MT)</t>
  </si>
  <si>
    <t xml:space="preserve">Blocos de cimento — lote de 100 (cap. 8)</t>
  </si>
  <si>
    <t xml:space="preserve">Sacos de cimento por lote</t>
  </si>
  <si>
    <t xml:space="preserve">Custo do saco de cimento (MT)</t>
  </si>
  <si>
    <t xml:space="preserve">Areia por lote (m³)</t>
  </si>
  <si>
    <t xml:space="preserve">Custo da areia (MT/m³)</t>
  </si>
  <si>
    <t xml:space="preserve">Blocos por lote</t>
  </si>
  <si>
    <t xml:space="preserve">Custo de materiais por lote (MT)</t>
  </si>
  <si>
    <t xml:space="preserve">Custo de materiais por bloco (MT)</t>
  </si>
  <si>
    <t xml:space="preserve">Preço de venda do bloco (MT)</t>
  </si>
  <si>
    <t xml:space="preserve">Margem bruta sobre materiais por bloco (MT)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</si>
</sst>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0.0%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5C4C"/>
      <name val="Arial"/>
      <family val="0"/>
      <charset val="1"/>
    </font>
    <font>
      <i val="true"/>
      <sz val="9"/>
      <color rgb="FF5B6675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5C4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5C4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5C4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f aca="false">COUNTA(Capítulos!A4:A100)</f>
        <v>13</v>
      </c>
    </row>
    <row r="5" customFormat="false" ht="15" hidden="false" customHeight="false" outlineLevel="0" collapsed="false">
      <c r="A5" s="3" t="s">
        <v>3</v>
      </c>
      <c r="B5" s="3" t="n">
        <f aca="false">COUNTA('Novidades no produto'!A4:A100)</f>
        <v>14</v>
      </c>
    </row>
    <row r="6" customFormat="false" ht="15" hidden="false" customHeight="false" outlineLevel="0" collapsed="false">
      <c r="A6" s="3" t="s">
        <v>4</v>
      </c>
      <c r="B6" s="3" t="n">
        <f aca="false">COUNTA('Achados no produto'!A4:A100)</f>
        <v>4</v>
      </c>
    </row>
    <row r="7" customFormat="false" ht="15" hidden="false" customHeight="false" outlineLevel="0" collapsed="false">
      <c r="A7" s="3" t="s">
        <v>5</v>
      </c>
      <c r="B7" s="3" t="n">
        <f aca="false">COUNTA('Por fazer'!A4:A100)</f>
        <v>3</v>
      </c>
    </row>
    <row r="8" customFormat="false" ht="15" hidden="false" customHeight="false" outlineLevel="0" collapsed="false">
      <c r="A8" s="3" t="s">
        <v>6</v>
      </c>
      <c r="B8" s="4" t="n">
        <v>259</v>
      </c>
    </row>
    <row r="9" customFormat="false" ht="15" hidden="false" customHeight="false" outlineLevel="0" collapsed="false">
      <c r="A9" s="3" t="s">
        <v>7</v>
      </c>
      <c r="B9" s="4" t="n">
        <v>18.7</v>
      </c>
    </row>
    <row r="10" customFormat="false" ht="15" hidden="false" customHeight="false" outlineLevel="0" collapsed="false">
      <c r="A10" s="3" t="s">
        <v>8</v>
      </c>
      <c r="B10" s="4" t="n">
        <v>499</v>
      </c>
    </row>
    <row r="11" customFormat="false" ht="15" hidden="false" customHeight="false" outlineLevel="0" collapsed="false">
      <c r="A11" s="3" t="s">
        <v>9</v>
      </c>
      <c r="B11" s="4" t="n">
        <v>0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5" min="4" style="0" width="46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3" customFormat="false" ht="15" hidden="false" customHeight="false" outlineLevel="0" collapsed="false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</row>
    <row r="4" customFormat="false" ht="23.85" hidden="false" customHeight="false" outlineLevel="0" collapsed="false">
      <c r="A4" s="6" t="n">
        <v>0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</row>
    <row r="5" customFormat="false" ht="15" hidden="false" customHeight="false" outlineLevel="0" collapsed="false">
      <c r="A5" s="6" t="n">
        <v>1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</row>
    <row r="6" customFormat="false" ht="23.85" hidden="false" customHeight="false" outlineLevel="0" collapsed="false">
      <c r="A6" s="6" t="n">
        <v>2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</row>
    <row r="7" customFormat="false" ht="15" hidden="false" customHeight="false" outlineLevel="0" collapsed="false">
      <c r="A7" s="6" t="n">
        <v>3</v>
      </c>
      <c r="B7" s="6" t="s">
        <v>34</v>
      </c>
      <c r="C7" s="6" t="s">
        <v>35</v>
      </c>
      <c r="D7" s="6" t="s">
        <v>36</v>
      </c>
      <c r="E7" s="6" t="s">
        <v>37</v>
      </c>
      <c r="F7" s="6" t="s">
        <v>38</v>
      </c>
    </row>
    <row r="8" customFormat="false" ht="23.85" hidden="false" customHeight="false" outlineLevel="0" collapsed="false">
      <c r="A8" s="6" t="n">
        <v>4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43</v>
      </c>
    </row>
    <row r="9" customFormat="false" ht="15" hidden="false" customHeight="false" outlineLevel="0" collapsed="false">
      <c r="A9" s="6" t="n">
        <v>5</v>
      </c>
      <c r="B9" s="6" t="s">
        <v>44</v>
      </c>
      <c r="C9" s="6" t="s">
        <v>45</v>
      </c>
      <c r="D9" s="6" t="s">
        <v>46</v>
      </c>
      <c r="E9" s="6" t="s">
        <v>47</v>
      </c>
      <c r="F9" s="6" t="s">
        <v>48</v>
      </c>
    </row>
    <row r="10" customFormat="false" ht="15" hidden="false" customHeight="false" outlineLevel="0" collapsed="false">
      <c r="A10" s="6" t="n">
        <v>6</v>
      </c>
      <c r="B10" s="6" t="s">
        <v>49</v>
      </c>
      <c r="C10" s="6" t="s">
        <v>50</v>
      </c>
      <c r="D10" s="6" t="s">
        <v>51</v>
      </c>
      <c r="E10" s="6" t="s">
        <v>52</v>
      </c>
      <c r="F10" s="6" t="s">
        <v>53</v>
      </c>
    </row>
    <row r="11" customFormat="false" ht="15" hidden="false" customHeight="false" outlineLevel="0" collapsed="false">
      <c r="A11" s="6" t="n">
        <v>7</v>
      </c>
      <c r="B11" s="6" t="s">
        <v>54</v>
      </c>
      <c r="C11" s="6" t="s">
        <v>55</v>
      </c>
      <c r="D11" s="6" t="s">
        <v>56</v>
      </c>
      <c r="E11" s="6" t="s">
        <v>57</v>
      </c>
      <c r="F11" s="6" t="s">
        <v>58</v>
      </c>
    </row>
    <row r="12" customFormat="false" ht="15" hidden="false" customHeight="false" outlineLevel="0" collapsed="false">
      <c r="A12" s="6" t="n">
        <v>8</v>
      </c>
      <c r="B12" s="6" t="s">
        <v>59</v>
      </c>
      <c r="C12" s="6" t="s">
        <v>60</v>
      </c>
      <c r="D12" s="6" t="s">
        <v>61</v>
      </c>
      <c r="E12" s="6" t="s">
        <v>62</v>
      </c>
      <c r="F12" s="6" t="s">
        <v>63</v>
      </c>
    </row>
    <row r="13" customFormat="false" ht="15" hidden="false" customHeight="false" outlineLevel="0" collapsed="false">
      <c r="A13" s="6" t="n">
        <v>9</v>
      </c>
      <c r="B13" s="6" t="s">
        <v>64</v>
      </c>
      <c r="C13" s="6" t="s">
        <v>65</v>
      </c>
      <c r="D13" s="6" t="s">
        <v>66</v>
      </c>
      <c r="E13" s="6" t="s">
        <v>67</v>
      </c>
      <c r="F13" s="6" t="s">
        <v>68</v>
      </c>
    </row>
    <row r="14" customFormat="false" ht="15" hidden="false" customHeight="false" outlineLevel="0" collapsed="false">
      <c r="A14" s="6" t="n">
        <v>10</v>
      </c>
      <c r="B14" s="6" t="s">
        <v>69</v>
      </c>
      <c r="C14" s="6" t="s">
        <v>70</v>
      </c>
      <c r="D14" s="6" t="s">
        <v>71</v>
      </c>
      <c r="E14" s="6" t="s">
        <v>72</v>
      </c>
      <c r="F14" s="6" t="s">
        <v>73</v>
      </c>
    </row>
    <row r="15" customFormat="false" ht="15" hidden="false" customHeight="false" outlineLevel="0" collapsed="false">
      <c r="A15" s="6" t="n">
        <v>11</v>
      </c>
      <c r="B15" s="6" t="s">
        <v>74</v>
      </c>
      <c r="C15" s="6" t="s">
        <v>75</v>
      </c>
      <c r="D15" s="6" t="s">
        <v>76</v>
      </c>
      <c r="E15" s="6" t="s">
        <v>77</v>
      </c>
      <c r="F15" s="6" t="s">
        <v>78</v>
      </c>
    </row>
    <row r="16" customFormat="false" ht="23.85" hidden="false" customHeight="false" outlineLevel="0" collapsed="false">
      <c r="A16" s="6" t="n">
        <v>12</v>
      </c>
      <c r="B16" s="6" t="s">
        <v>79</v>
      </c>
      <c r="C16" s="6" t="s">
        <v>80</v>
      </c>
      <c r="D16" s="6" t="s">
        <v>81</v>
      </c>
      <c r="E16" s="6" t="s">
        <v>82</v>
      </c>
      <c r="F16" s="6" t="s">
        <v>83</v>
      </c>
    </row>
  </sheetData>
  <autoFilter ref="A3:F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5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84</v>
      </c>
    </row>
    <row r="3" customFormat="false" ht="23.85" hidden="false" customHeight="false" outlineLevel="0" collapsed="false">
      <c r="A3" s="5" t="s">
        <v>14</v>
      </c>
      <c r="B3" s="5" t="s">
        <v>85</v>
      </c>
      <c r="C3" s="5" t="s">
        <v>86</v>
      </c>
      <c r="D3" s="5" t="s">
        <v>87</v>
      </c>
    </row>
    <row r="4" customFormat="false" ht="15" hidden="false" customHeight="false" outlineLevel="0" collapsed="false">
      <c r="A4" s="6" t="s">
        <v>88</v>
      </c>
      <c r="B4" s="6" t="s">
        <v>89</v>
      </c>
      <c r="C4" s="6" t="s">
        <v>90</v>
      </c>
      <c r="D4" s="6" t="s">
        <v>91</v>
      </c>
    </row>
    <row r="5" customFormat="false" ht="15" hidden="false" customHeight="false" outlineLevel="0" collapsed="false">
      <c r="A5" s="6" t="s">
        <v>88</v>
      </c>
      <c r="B5" s="6" t="s">
        <v>92</v>
      </c>
      <c r="C5" s="6" t="s">
        <v>93</v>
      </c>
      <c r="D5" s="6" t="s">
        <v>91</v>
      </c>
    </row>
    <row r="6" customFormat="false" ht="15" hidden="false" customHeight="false" outlineLevel="0" collapsed="false">
      <c r="A6" s="6" t="s">
        <v>88</v>
      </c>
      <c r="B6" s="6" t="s">
        <v>94</v>
      </c>
      <c r="C6" s="6" t="s">
        <v>95</v>
      </c>
      <c r="D6" s="6" t="s">
        <v>91</v>
      </c>
    </row>
    <row r="7" customFormat="false" ht="15" hidden="false" customHeight="false" outlineLevel="0" collapsed="false">
      <c r="A7" s="6" t="s">
        <v>88</v>
      </c>
      <c r="B7" s="6" t="s">
        <v>96</v>
      </c>
      <c r="C7" s="6" t="s">
        <v>97</v>
      </c>
      <c r="D7" s="6" t="s">
        <v>91</v>
      </c>
    </row>
    <row r="8" customFormat="false" ht="15" hidden="false" customHeight="false" outlineLevel="0" collapsed="false">
      <c r="A8" s="6" t="s">
        <v>88</v>
      </c>
      <c r="B8" s="6" t="s">
        <v>98</v>
      </c>
      <c r="C8" s="6" t="s">
        <v>99</v>
      </c>
      <c r="D8" s="6" t="s">
        <v>91</v>
      </c>
    </row>
    <row r="9" customFormat="false" ht="23.85" hidden="false" customHeight="false" outlineLevel="0" collapsed="false">
      <c r="A9" s="6" t="s">
        <v>88</v>
      </c>
      <c r="B9" s="6" t="s">
        <v>100</v>
      </c>
      <c r="C9" s="6" t="s">
        <v>101</v>
      </c>
      <c r="D9" s="6" t="s">
        <v>91</v>
      </c>
    </row>
    <row r="10" customFormat="false" ht="15" hidden="false" customHeight="false" outlineLevel="0" collapsed="false">
      <c r="A10" s="6" t="s">
        <v>88</v>
      </c>
      <c r="B10" s="6" t="s">
        <v>102</v>
      </c>
      <c r="C10" s="6" t="s">
        <v>103</v>
      </c>
      <c r="D10" s="6" t="s">
        <v>91</v>
      </c>
    </row>
    <row r="11" customFormat="false" ht="15" hidden="false" customHeight="false" outlineLevel="0" collapsed="false">
      <c r="A11" s="6" t="s">
        <v>104</v>
      </c>
      <c r="B11" s="6" t="s">
        <v>105</v>
      </c>
      <c r="C11" s="6" t="s">
        <v>106</v>
      </c>
      <c r="D11" s="6" t="s">
        <v>91</v>
      </c>
    </row>
    <row r="12" customFormat="false" ht="15" hidden="false" customHeight="false" outlineLevel="0" collapsed="false">
      <c r="A12" s="6" t="s">
        <v>104</v>
      </c>
      <c r="B12" s="6" t="s">
        <v>107</v>
      </c>
      <c r="C12" s="6" t="s">
        <v>108</v>
      </c>
      <c r="D12" s="6" t="s">
        <v>91</v>
      </c>
    </row>
    <row r="13" customFormat="false" ht="15" hidden="false" customHeight="false" outlineLevel="0" collapsed="false">
      <c r="A13" s="6" t="s">
        <v>104</v>
      </c>
      <c r="B13" s="6" t="s">
        <v>109</v>
      </c>
      <c r="C13" s="6" t="s">
        <v>110</v>
      </c>
      <c r="D13" s="6" t="s">
        <v>91</v>
      </c>
    </row>
    <row r="14" customFormat="false" ht="15" hidden="false" customHeight="false" outlineLevel="0" collapsed="false">
      <c r="A14" s="6" t="s">
        <v>111</v>
      </c>
      <c r="B14" s="6" t="s">
        <v>112</v>
      </c>
      <c r="C14" s="6" t="s">
        <v>113</v>
      </c>
      <c r="D14" s="6" t="s">
        <v>91</v>
      </c>
    </row>
    <row r="15" customFormat="false" ht="15" hidden="false" customHeight="false" outlineLevel="0" collapsed="false">
      <c r="A15" s="6" t="s">
        <v>114</v>
      </c>
      <c r="B15" s="6" t="s">
        <v>115</v>
      </c>
      <c r="C15" s="6" t="s">
        <v>116</v>
      </c>
      <c r="D15" s="6" t="s">
        <v>91</v>
      </c>
    </row>
    <row r="16" customFormat="false" ht="15" hidden="false" customHeight="false" outlineLevel="0" collapsed="false">
      <c r="A16" s="6" t="s">
        <v>117</v>
      </c>
      <c r="B16" s="6" t="s">
        <v>118</v>
      </c>
      <c r="C16" s="6" t="s">
        <v>119</v>
      </c>
      <c r="D16" s="6" t="s">
        <v>91</v>
      </c>
    </row>
    <row r="17" customFormat="false" ht="15" hidden="false" customHeight="false" outlineLevel="0" collapsed="false">
      <c r="A17" s="6" t="s">
        <v>120</v>
      </c>
      <c r="B17" s="6" t="s">
        <v>121</v>
      </c>
      <c r="C17" s="6" t="s">
        <v>122</v>
      </c>
      <c r="D17" s="6" t="s">
        <v>91</v>
      </c>
    </row>
  </sheetData>
  <autoFilter ref="A3:D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3" min="3" style="0" width="7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123</v>
      </c>
    </row>
    <row r="3" customFormat="false" ht="23.85" hidden="false" customHeight="false" outlineLevel="0" collapsed="false">
      <c r="A3" s="5" t="s">
        <v>124</v>
      </c>
      <c r="B3" s="5" t="s">
        <v>125</v>
      </c>
      <c r="C3" s="5" t="s">
        <v>126</v>
      </c>
      <c r="D3" s="5" t="s">
        <v>127</v>
      </c>
    </row>
    <row r="4" customFormat="false" ht="35.05" hidden="false" customHeight="false" outlineLevel="0" collapsed="false">
      <c r="A4" s="6" t="s">
        <v>128</v>
      </c>
      <c r="B4" s="6" t="s">
        <v>129</v>
      </c>
      <c r="C4" s="6" t="s">
        <v>130</v>
      </c>
      <c r="D4" s="6" t="s">
        <v>131</v>
      </c>
    </row>
    <row r="5" customFormat="false" ht="23.85" hidden="false" customHeight="false" outlineLevel="0" collapsed="false">
      <c r="A5" s="6" t="s">
        <v>132</v>
      </c>
      <c r="B5" s="6" t="s">
        <v>133</v>
      </c>
      <c r="C5" s="6" t="s">
        <v>134</v>
      </c>
      <c r="D5" s="6" t="s">
        <v>135</v>
      </c>
    </row>
    <row r="6" customFormat="false" ht="15" hidden="false" customHeight="false" outlineLevel="0" collapsed="false">
      <c r="A6" s="6" t="s">
        <v>136</v>
      </c>
      <c r="B6" s="6" t="s">
        <v>137</v>
      </c>
      <c r="C6" s="6" t="s">
        <v>138</v>
      </c>
      <c r="D6" s="6" t="s">
        <v>135</v>
      </c>
    </row>
    <row r="7" customFormat="false" ht="15" hidden="false" customHeight="false" outlineLevel="0" collapsed="false">
      <c r="A7" s="6" t="s">
        <v>139</v>
      </c>
      <c r="B7" s="6" t="s">
        <v>140</v>
      </c>
      <c r="C7" s="6" t="s">
        <v>141</v>
      </c>
      <c r="D7" s="6" t="s">
        <v>142</v>
      </c>
    </row>
  </sheetData>
  <autoFilter ref="A3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143</v>
      </c>
    </row>
    <row r="3" customFormat="false" ht="15" hidden="false" customHeight="false" outlineLevel="0" collapsed="false">
      <c r="A3" s="5" t="s">
        <v>144</v>
      </c>
      <c r="B3" s="5" t="s">
        <v>145</v>
      </c>
      <c r="C3" s="5" t="s">
        <v>146</v>
      </c>
    </row>
    <row r="4" customFormat="false" ht="23.85" hidden="false" customHeight="false" outlineLevel="0" collapsed="false">
      <c r="A4" s="6" t="s">
        <v>147</v>
      </c>
      <c r="B4" s="6" t="s">
        <v>148</v>
      </c>
      <c r="C4" s="6" t="s">
        <v>149</v>
      </c>
    </row>
    <row r="5" customFormat="false" ht="23.85" hidden="false" customHeight="false" outlineLevel="0" collapsed="false">
      <c r="A5" s="6" t="s">
        <v>150</v>
      </c>
      <c r="B5" s="6" t="s">
        <v>151</v>
      </c>
      <c r="C5" s="6" t="s">
        <v>152</v>
      </c>
    </row>
    <row r="6" customFormat="false" ht="15" hidden="false" customHeight="false" outlineLevel="0" collapsed="false">
      <c r="A6" s="6" t="s">
        <v>153</v>
      </c>
      <c r="B6" s="6" t="s">
        <v>154</v>
      </c>
      <c r="C6" s="6" t="s">
        <v>155</v>
      </c>
    </row>
  </sheetData>
  <autoFilter ref="A3:C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15" hidden="false" customHeight="false" outlineLevel="0" collapsed="false">
      <c r="A4" s="7" t="s">
        <v>158</v>
      </c>
    </row>
    <row r="5" customFormat="false" ht="15" hidden="false" customHeight="false" outlineLevel="0" collapsed="false">
      <c r="A5" s="8" t="s">
        <v>159</v>
      </c>
      <c r="B5" s="9" t="n">
        <v>18000</v>
      </c>
    </row>
    <row r="6" customFormat="false" ht="15" hidden="false" customHeight="false" outlineLevel="0" collapsed="false">
      <c r="A6" s="8" t="s">
        <v>160</v>
      </c>
      <c r="B6" s="10" t="n">
        <v>208</v>
      </c>
      <c r="C6" s="2" t="s">
        <v>161</v>
      </c>
    </row>
    <row r="7" customFormat="false" ht="15" hidden="false" customHeight="false" outlineLevel="0" collapsed="false">
      <c r="A7" s="8" t="s">
        <v>162</v>
      </c>
      <c r="B7" s="11" t="n">
        <v>0.5</v>
      </c>
      <c r="C7" s="2" t="s">
        <v>163</v>
      </c>
    </row>
    <row r="8" customFormat="false" ht="15" hidden="false" customHeight="false" outlineLevel="0" collapsed="false">
      <c r="A8" s="8" t="s">
        <v>164</v>
      </c>
      <c r="B8" s="10" t="n">
        <v>4</v>
      </c>
    </row>
    <row r="9" customFormat="false" ht="15" hidden="false" customHeight="false" outlineLevel="0" collapsed="false">
      <c r="A9" s="8" t="s">
        <v>165</v>
      </c>
      <c r="B9" s="12" t="n">
        <f aca="false">ROUND(B5/B6*(1+B7)*B8,2)</f>
        <v>519.23</v>
      </c>
    </row>
    <row r="10" customFormat="false" ht="15" hidden="false" customHeight="false" outlineLevel="0" collapsed="false">
      <c r="A10" s="8" t="s">
        <v>166</v>
      </c>
      <c r="B10" s="9" t="n">
        <v>1500</v>
      </c>
    </row>
    <row r="11" customFormat="false" ht="15" hidden="false" customHeight="false" outlineLevel="0" collapsed="false">
      <c r="A11" s="8" t="s">
        <v>167</v>
      </c>
      <c r="B11" s="9" t="n">
        <v>1000</v>
      </c>
    </row>
    <row r="12" customFormat="false" ht="15" hidden="false" customHeight="false" outlineLevel="0" collapsed="false">
      <c r="A12" s="8" t="s">
        <v>168</v>
      </c>
      <c r="B12" s="12" t="n">
        <f aca="false">B5+B9+B10+B11</f>
        <v>21019.23</v>
      </c>
    </row>
    <row r="14" customFormat="false" ht="15" hidden="false" customHeight="false" outlineLevel="0" collapsed="false">
      <c r="A14" s="7" t="s">
        <v>169</v>
      </c>
    </row>
    <row r="15" customFormat="false" ht="15" hidden="false" customHeight="false" outlineLevel="0" collapsed="false">
      <c r="A15" s="8" t="s">
        <v>170</v>
      </c>
      <c r="B15" s="10" t="n">
        <v>3</v>
      </c>
    </row>
    <row r="16" customFormat="false" ht="15" hidden="false" customHeight="false" outlineLevel="0" collapsed="false">
      <c r="A16" s="8" t="s">
        <v>171</v>
      </c>
      <c r="B16" s="9" t="n">
        <v>520</v>
      </c>
    </row>
    <row r="17" customFormat="false" ht="15" hidden="false" customHeight="false" outlineLevel="0" collapsed="false">
      <c r="A17" s="8" t="s">
        <v>172</v>
      </c>
      <c r="B17" s="13" t="n">
        <v>0.5</v>
      </c>
    </row>
    <row r="18" customFormat="false" ht="15" hidden="false" customHeight="false" outlineLevel="0" collapsed="false">
      <c r="A18" s="8" t="s">
        <v>173</v>
      </c>
      <c r="B18" s="9" t="n">
        <v>1500</v>
      </c>
    </row>
    <row r="19" customFormat="false" ht="15" hidden="false" customHeight="false" outlineLevel="0" collapsed="false">
      <c r="A19" s="8" t="s">
        <v>174</v>
      </c>
      <c r="B19" s="10" t="n">
        <v>100</v>
      </c>
    </row>
    <row r="20" customFormat="false" ht="15" hidden="false" customHeight="false" outlineLevel="0" collapsed="false">
      <c r="A20" s="8" t="s">
        <v>175</v>
      </c>
      <c r="B20" s="12" t="n">
        <f aca="false">B15*B16+B17*B18</f>
        <v>2310</v>
      </c>
    </row>
    <row r="21" customFormat="false" ht="15" hidden="false" customHeight="false" outlineLevel="0" collapsed="false">
      <c r="A21" s="8" t="s">
        <v>176</v>
      </c>
      <c r="B21" s="12" t="n">
        <f aca="false">B20/B19</f>
        <v>23.1</v>
      </c>
    </row>
    <row r="22" customFormat="false" ht="15" hidden="false" customHeight="false" outlineLevel="0" collapsed="false">
      <c r="A22" s="8" t="s">
        <v>177</v>
      </c>
      <c r="B22" s="9" t="n">
        <v>45</v>
      </c>
    </row>
    <row r="23" customFormat="false" ht="15" hidden="false" customHeight="false" outlineLevel="0" collapsed="false">
      <c r="A23" s="8" t="s">
        <v>178</v>
      </c>
      <c r="B23" s="12" t="n">
        <f aca="false">B22-B21</f>
        <v>21.9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2026-10-07T13:42:17Z</dcterms:created>
  <dc:creator>openpyxl</dc:creator>
  <dc:description/>
  <dc:language>en-US</dc:language>
  <cp:lastModifiedBy/>
  <dcterms:modified xsi:type="dcterms:W3CDTF">2026-10-07T13:42:17Z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